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\Documents\Doc pessoais\Cursos Certificados\Bootcamp Bradesco DIO\Projetos\Excel com IA\Projeto Ferramenta de controle de Investimentos\"/>
    </mc:Choice>
  </mc:AlternateContent>
  <xr:revisionPtr revIDLastSave="0" documentId="13_ncr:1_{285CC16E-728C-4B44-934F-DA95C0D3567D}" xr6:coauthVersionLast="47" xr6:coauthVersionMax="47" xr10:uidLastSave="{00000000-0000-0000-0000-000000000000}"/>
  <bookViews>
    <workbookView xWindow="-120" yWindow="-120" windowWidth="29040" windowHeight="15990" xr2:uid="{75C8B96D-4E1D-4FF5-8482-1E229D925C95}"/>
  </bookViews>
  <sheets>
    <sheet name="Planilha1" sheetId="1" r:id="rId1"/>
    <sheet name="Tabela de apoio" sheetId="2" r:id="rId2"/>
  </sheets>
  <definedNames>
    <definedName name="aporte">Planilha1!$D$16</definedName>
    <definedName name="rendimento_carteira">Planilha1!$D$12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5" i="1" l="1"/>
  <c r="D35" i="1" s="1"/>
  <c r="C36" i="1"/>
  <c r="D36" i="1" s="1"/>
  <c r="C37" i="1"/>
  <c r="D37" i="1" s="1"/>
  <c r="C38" i="1"/>
  <c r="D38" i="1" s="1"/>
  <c r="C39" i="1"/>
  <c r="D39" i="1" s="1"/>
  <c r="C34" i="1"/>
  <c r="D34" i="1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" i="2"/>
  <c r="C31" i="1"/>
  <c r="D13" i="1"/>
  <c r="C24" i="1"/>
  <c r="D24" i="1" s="1"/>
  <c r="C25" i="1"/>
  <c r="D25" i="1" s="1"/>
  <c r="C26" i="1"/>
  <c r="D26" i="1" s="1"/>
  <c r="C27" i="1"/>
  <c r="D27" i="1" s="1"/>
  <c r="C23" i="1"/>
  <c r="D23" i="1" s="1"/>
  <c r="D19" i="1"/>
  <c r="D20" i="1" s="1"/>
  <c r="D40" i="1" l="1"/>
</calcChain>
</file>

<file path=xl/sharedStrings.xml><?xml version="1.0" encoding="utf-8"?>
<sst xmlns="http://schemas.openxmlformats.org/spreadsheetml/2006/main" count="71" uniqueCount="35">
  <si>
    <t>Dividendo mensais?</t>
  </si>
  <si>
    <t>Patrimõnio acumulado?</t>
  </si>
  <si>
    <t>Taxa de rendimento mensal?</t>
  </si>
  <si>
    <t>Por quantos anos?</t>
  </si>
  <si>
    <t>Quanto investir por mês?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</si>
  <si>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</si>
  <si>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</si>
  <si>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</si>
  <si>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</si>
  <si>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</si>
  <si>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</si>
  <si>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>Dividendos</t>
  </si>
  <si>
    <t>Salário</t>
  </si>
  <si>
    <t>Rendimento Carteira</t>
  </si>
  <si>
    <t>Sugestão de Investimento</t>
  </si>
  <si>
    <t>CENÁRIOS</t>
  </si>
  <si>
    <t>CONFIGURAÇÕES</t>
  </si>
  <si>
    <t>💶</t>
  </si>
  <si>
    <t>💹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</si>
  <si>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</si>
  <si>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</si>
  <si>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</si>
  <si>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</si>
  <si>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</si>
  <si>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</si>
  <si>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</si>
  <si>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</si>
  <si>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</si>
  <si>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</si>
  <si>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</si>
  <si>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</si>
  <si>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Conservador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</si>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</sst>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0;[Red]\-&quot;R$&quot;\ #,##0.000"/>
    <numFmt numFmtId="166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 tint="-0.499984740745262"/>
      <name val="Aptos Narrow"/>
      <family val="2"/>
      <scheme val="minor"/>
    </font>
    <font>
      <sz val="18"/>
      <color theme="0" tint="-0.499984740745262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6"/>
      </right>
      <top/>
      <bottom style="thin">
        <color theme="0" tint="-0.14996795556505021"/>
      </bottom>
      <diagonal/>
    </border>
    <border>
      <left style="medium">
        <color theme="6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6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6"/>
      </left>
      <right style="thin">
        <color theme="0" tint="-0.14996795556505021"/>
      </right>
      <top style="thin">
        <color theme="0" tint="-0.14996795556505021"/>
      </top>
      <bottom style="medium">
        <color theme="6"/>
      </bottom>
      <diagonal/>
    </border>
    <border>
      <left style="thin">
        <color theme="0" tint="-0.14996795556505021"/>
      </left>
      <right style="medium">
        <color theme="6"/>
      </right>
      <top style="thin">
        <color theme="0" tint="-0.14996795556505021"/>
      </top>
      <bottom style="medium">
        <color theme="6"/>
      </bottom>
      <diagonal/>
    </border>
    <border>
      <left/>
      <right style="medium">
        <color theme="9" tint="-0.249977111117893"/>
      </right>
      <top style="medium">
        <color theme="6"/>
      </top>
      <bottom/>
      <diagonal/>
    </border>
    <border>
      <left style="medium">
        <color theme="9" tint="-0.249977111117893"/>
      </left>
      <right style="medium">
        <color theme="6"/>
      </right>
      <top style="medium">
        <color theme="6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3" borderId="0" applyNumberFormat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/>
    </xf>
    <xf numFmtId="8" fontId="5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/>
    <xf numFmtId="0" fontId="3" fillId="0" borderId="6" xfId="0" applyFont="1" applyBorder="1"/>
    <xf numFmtId="0" fontId="3" fillId="0" borderId="8" xfId="0" applyFont="1" applyBorder="1"/>
    <xf numFmtId="8" fontId="5" fillId="0" borderId="12" xfId="1" applyNumberFormat="1" applyFont="1" applyBorder="1" applyAlignment="1">
      <alignment horizontal="center" vertical="center"/>
    </xf>
    <xf numFmtId="8" fontId="5" fillId="0" borderId="5" xfId="1" applyNumberFormat="1" applyFont="1" applyBorder="1" applyAlignment="1">
      <alignment horizontal="center" vertical="center"/>
    </xf>
    <xf numFmtId="8" fontId="5" fillId="0" borderId="7" xfId="1" applyNumberFormat="1" applyFont="1" applyBorder="1" applyAlignment="1">
      <alignment horizontal="center" vertical="center"/>
    </xf>
    <xf numFmtId="8" fontId="5" fillId="0" borderId="13" xfId="1" applyNumberFormat="1" applyFont="1" applyBorder="1" applyAlignment="1">
      <alignment horizontal="center" vertical="center"/>
    </xf>
    <xf numFmtId="8" fontId="5" fillId="0" borderId="9" xfId="1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6" fontId="5" fillId="0" borderId="5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0" fontId="5" fillId="0" borderId="7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8" fontId="5" fillId="2" borderId="7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164" fontId="5" fillId="2" borderId="9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0" fillId="0" borderId="0" xfId="0" applyFont="1"/>
    <xf numFmtId="0" fontId="6" fillId="3" borderId="0" xfId="3"/>
    <xf numFmtId="0" fontId="11" fillId="3" borderId="0" xfId="3" applyFont="1" applyAlignment="1">
      <alignment horizontal="center"/>
    </xf>
    <xf numFmtId="166" fontId="7" fillId="6" borderId="0" xfId="1" applyNumberFormat="1" applyFont="1" applyFill="1" applyAlignment="1">
      <alignment horizontal="center"/>
    </xf>
    <xf numFmtId="0" fontId="0" fillId="6" borderId="0" xfId="0" applyFill="1"/>
    <xf numFmtId="9" fontId="0" fillId="0" borderId="0" xfId="0" applyNumberFormat="1"/>
    <xf numFmtId="166" fontId="0" fillId="0" borderId="0" xfId="0" applyNumberFormat="1" applyAlignment="1">
      <alignment horizontal="center"/>
    </xf>
    <xf numFmtId="166" fontId="0" fillId="6" borderId="0" xfId="0" applyNumberForma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0" borderId="15" xfId="0" applyBorder="1"/>
    <xf numFmtId="9" fontId="0" fillId="0" borderId="15" xfId="0" applyNumberFormat="1" applyBorder="1"/>
    <xf numFmtId="0" fontId="0" fillId="0" borderId="15" xfId="0" applyFont="1" applyBorder="1"/>
    <xf numFmtId="9" fontId="0" fillId="0" borderId="0" xfId="2" applyFont="1"/>
    <xf numFmtId="9" fontId="0" fillId="0" borderId="15" xfId="2" applyFont="1" applyBorder="1"/>
    <xf numFmtId="9" fontId="0" fillId="0" borderId="0" xfId="0" applyNumberFormat="1" applyAlignment="1">
      <alignment horizontal="center"/>
    </xf>
    <xf numFmtId="0" fontId="11" fillId="3" borderId="0" xfId="3" applyFont="1" applyBorder="1" applyAlignment="1">
      <alignment horizontal="center"/>
    </xf>
  </cellXfs>
  <cellStyles count="4">
    <cellStyle name="Bom" xfId="3" builtinId="26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Planilha1!$B$34:$B$40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Planilha1!$C$34:$C$40</c:f>
              <c:numCache>
                <c:formatCode>0%</c:formatCode>
                <c:ptCount val="7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C-4699-AEC5-B1D96EF6A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282022</xdr:colOff>
      <xdr:row>0</xdr:row>
      <xdr:rowOff>0</xdr:rowOff>
    </xdr:from>
    <xdr:to>
      <xdr:col>3</xdr:col>
      <xdr:colOff>1308652</xdr:colOff>
      <xdr:row>7</xdr:row>
      <xdr:rowOff>165652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E626587-6E20-C591-510F-0766ED6F2A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04" t="16455" r="6048" b="16608"/>
        <a:stretch/>
      </xdr:blipFill>
      <xdr:spPr>
        <a:xfrm>
          <a:off x="282022" y="0"/>
          <a:ext cx="8042000" cy="1499152"/>
        </a:xfrm>
        <a:prstGeom prst="rect">
          <a:avLst/>
        </a:prstGeom>
      </xdr:spPr>
    </xdr:pic>
    <xdr:clientData/>
  </xdr:twoCellAnchor>
  <xdr:twoCellAnchor>
    <xdr:from>
      <xdr:col>0</xdr:col>
      <xdr:colOff>281607</xdr:colOff>
      <xdr:row>40</xdr:row>
      <xdr:rowOff>82826</xdr:rowOff>
    </xdr:from>
    <xdr:to>
      <xdr:col>4</xdr:col>
      <xdr:colOff>8282</xdr:colOff>
      <xdr:row>54</xdr:row>
      <xdr:rowOff>137491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D344837-647F-E569-34AA-A536702D7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98DD-2EFC-4A33-9B04-4A4A8A8B4736}">
  <dimension ref="A9:XFD40"/>
  <sheetViews>
    <sheetView showGridLines="0" showRowColHeaders="0" tabSelected="1" zoomScaleNormal="100" workbookViewId="0">
      <selection activeCell="B22" sqref="B22:D22"/>
    </sheetView>
  </sheetViews>
  <sheetFormatPr defaultColWidth="0" defaultRowHeight="15" x14ac:dyDescent="0.25"/>
  <cols>
    <col min="1" max="1" width="4.28515625" customWidth="1"/>
    <col min="2" max="2" width="56.7109375" customWidth="1"/>
    <col min="3" max="3" width="44.140625" customWidth="1"/>
    <col min="4" max="4" width="19.7109375" customWidth="1"/>
    <col min="5" max="5" width="24.42578125" customWidth="1"/>
    <col min="6" max="6" width="8.5703125" customWidth="1"/>
    <col min="7" max="10" width="8.5703125" style="38" hidden="1" customWidth="1"/>
    <col min="11" max="15" width="9.140625" hidden="1" customWidth="1"/>
    <col min="16" max="16384" width="9.140625" hidden="1"/>
  </cols>
  <sheetData>
    <row r="9" spans="2:4" ht="15.75" thickBot="1" x14ac:dyDescent="0.3"/>
    <row r="10" spans="2:4" ht="28.5" customHeight="1" x14ac:dyDescent="0.25">
      <c r="B10" s="34" t="s">
        <v>16</v>
      </c>
      <c r="C10" s="35"/>
      <c r="D10" s="36" t="s">
        <v>17</v>
      </c>
    </row>
    <row r="11" spans="2:4" ht="15.75" x14ac:dyDescent="0.25">
      <c r="B11" s="18" t="s">
        <v>12</v>
      </c>
      <c r="C11" s="15"/>
      <c r="D11" s="12">
        <v>3000</v>
      </c>
    </row>
    <row r="12" spans="2:4" ht="15.75" x14ac:dyDescent="0.25">
      <c r="B12" s="20" t="s">
        <v>13</v>
      </c>
      <c r="C12" s="16"/>
      <c r="D12" s="13">
        <v>8.8999999999999999E-3</v>
      </c>
    </row>
    <row r="13" spans="2:4" ht="16.5" thickBot="1" x14ac:dyDescent="0.3">
      <c r="B13" s="28" t="s">
        <v>14</v>
      </c>
      <c r="C13" s="29"/>
      <c r="D13" s="14">
        <f>D11*20%</f>
        <v>600</v>
      </c>
    </row>
    <row r="14" spans="2:4" ht="15.75" thickBot="1" x14ac:dyDescent="0.3"/>
    <row r="15" spans="2:4" ht="27" customHeight="1" x14ac:dyDescent="0.25">
      <c r="B15" s="30" t="s">
        <v>5</v>
      </c>
      <c r="C15" s="31"/>
      <c r="D15" s="37" t="s">
        <v>18</v>
      </c>
    </row>
    <row r="16" spans="2:4" ht="15.75" customHeight="1" x14ac:dyDescent="0.25">
      <c r="B16" s="18" t="s">
        <v>4</v>
      </c>
      <c r="C16" s="15"/>
      <c r="D16" s="19">
        <v>500</v>
      </c>
    </row>
    <row r="17" spans="1:4" ht="15.75" customHeight="1" x14ac:dyDescent="0.25">
      <c r="B17" s="20" t="s">
        <v>3</v>
      </c>
      <c r="C17" s="16"/>
      <c r="D17" s="21">
        <v>2</v>
      </c>
    </row>
    <row r="18" spans="1:4" ht="15.75" customHeight="1" x14ac:dyDescent="0.25">
      <c r="B18" s="20" t="s">
        <v>2</v>
      </c>
      <c r="C18" s="16"/>
      <c r="D18" s="22">
        <v>1.0789999999999999E-2</v>
      </c>
    </row>
    <row r="19" spans="1:4" ht="15.75" customHeight="1" x14ac:dyDescent="0.25">
      <c r="B19" s="23" t="s">
        <v>1</v>
      </c>
      <c r="C19" s="17"/>
      <c r="D19" s="24">
        <f>FV(D18,D17*12,D16*-1)</f>
        <v>13613.813648822608</v>
      </c>
    </row>
    <row r="20" spans="1:4" ht="15.75" customHeight="1" thickBot="1" x14ac:dyDescent="0.3">
      <c r="B20" s="25" t="s">
        <v>0</v>
      </c>
      <c r="C20" s="26"/>
      <c r="D20" s="27">
        <f>D19*$D$12</f>
        <v>121.16294147452122</v>
      </c>
    </row>
    <row r="21" spans="1:4" ht="15.75" thickBot="1" x14ac:dyDescent="0.3"/>
    <row r="22" spans="1:4" ht="27.75" customHeight="1" x14ac:dyDescent="0.25">
      <c r="B22" s="30" t="s">
        <v>15</v>
      </c>
      <c r="C22" s="32"/>
      <c r="D22" s="33" t="s">
        <v>11</v>
      </c>
    </row>
    <row r="23" spans="1:4" ht="15.75" x14ac:dyDescent="0.25">
      <c r="A23" s="1">
        <v>2</v>
      </c>
      <c r="B23" s="4" t="s">
        <v>6</v>
      </c>
      <c r="C23" s="7">
        <f>FV($D$18,A23*12,$D$16*-1)</f>
        <v>13613.813648822608</v>
      </c>
      <c r="D23" s="8">
        <f>C23*rendimento_carteira</f>
        <v>121.16294147452122</v>
      </c>
    </row>
    <row r="24" spans="1:4" ht="15.75" x14ac:dyDescent="0.25">
      <c r="A24" s="1">
        <v>5</v>
      </c>
      <c r="B24" s="5" t="s">
        <v>7</v>
      </c>
      <c r="C24" s="2">
        <f>FV($D$18,A24*12,$D$16*-1)</f>
        <v>41888.456999243819</v>
      </c>
      <c r="D24" s="9">
        <f>C24*rendimento_carteira</f>
        <v>372.80726729327</v>
      </c>
    </row>
    <row r="25" spans="1:4" ht="15.75" x14ac:dyDescent="0.25">
      <c r="A25" s="1">
        <v>10</v>
      </c>
      <c r="B25" s="5" t="s">
        <v>8</v>
      </c>
      <c r="C25" s="2">
        <f>FV($D$18,A25*12,$D$16*-1)</f>
        <v>121642.1062650861</v>
      </c>
      <c r="D25" s="9">
        <f>C25*rendimento_carteira</f>
        <v>1082.6147457592663</v>
      </c>
    </row>
    <row r="26" spans="1:4" ht="15.75" x14ac:dyDescent="0.25">
      <c r="A26" s="1">
        <v>20</v>
      </c>
      <c r="B26" s="5" t="s">
        <v>9</v>
      </c>
      <c r="C26" s="2">
        <f>FV($D$18,A26*12,$D$16*-1)</f>
        <v>562599.20004854025</v>
      </c>
      <c r="D26" s="9">
        <f>C26*rendimento_carteira</f>
        <v>5007.1328804320083</v>
      </c>
    </row>
    <row r="27" spans="1:4" ht="16.5" thickBot="1" x14ac:dyDescent="0.3">
      <c r="A27" s="1">
        <v>30</v>
      </c>
      <c r="B27" s="6" t="s">
        <v>10</v>
      </c>
      <c r="C27" s="10">
        <f>FV($D$18,A27*12,$D$16*-1)</f>
        <v>2161084.8275023573</v>
      </c>
      <c r="D27" s="11">
        <f>C27*rendimento_carteira</f>
        <v>19233.65496477098</v>
      </c>
    </row>
    <row r="30" spans="1:4" x14ac:dyDescent="0.25">
      <c r="B30" s="53" t="s">
        <v>21</v>
      </c>
      <c r="C30" s="40" t="s">
        <v>34</v>
      </c>
      <c r="D30" s="39"/>
    </row>
    <row r="31" spans="1:4" x14ac:dyDescent="0.25">
      <c r="B31" s="46" t="s">
        <v>20</v>
      </c>
      <c r="C31" s="41">
        <f>aporte</f>
        <v>500</v>
      </c>
      <c r="D31" s="42"/>
    </row>
    <row r="33" spans="2:4" x14ac:dyDescent="0.25">
      <c r="B33" s="46" t="s">
        <v>22</v>
      </c>
      <c r="C33" s="41" t="s">
        <v>23</v>
      </c>
      <c r="D33" s="46" t="s">
        <v>24</v>
      </c>
    </row>
    <row r="34" spans="2:4" x14ac:dyDescent="0.25">
      <c r="B34" s="3" t="s">
        <v>25</v>
      </c>
      <c r="C34" s="52">
        <f>VLOOKUP(TRIM($C$30)&amp;" - "&amp;B34, 'Tabela de apoio'!$A:$D, 4, 0)</f>
        <v>0.32</v>
      </c>
      <c r="D34" s="44">
        <f>C34*$C$31</f>
        <v>160</v>
      </c>
    </row>
    <row r="35" spans="2:4" x14ac:dyDescent="0.25">
      <c r="B35" s="3" t="s">
        <v>26</v>
      </c>
      <c r="C35" s="52">
        <f>VLOOKUP(TRIM($C$30)&amp;" - "&amp;B35, 'Tabela de apoio'!$A:$D, 4, 0)</f>
        <v>0.4</v>
      </c>
      <c r="D35" s="44">
        <f t="shared" ref="D35:D39" si="0">C35*$C$31</f>
        <v>200</v>
      </c>
    </row>
    <row r="36" spans="2:4" x14ac:dyDescent="0.25">
      <c r="B36" s="3" t="s">
        <v>27</v>
      </c>
      <c r="C36" s="52">
        <f>VLOOKUP(TRIM($C$30)&amp;" - "&amp;B36, 'Tabela de apoio'!$A:$D, 4, 0)</f>
        <v>0.08</v>
      </c>
      <c r="D36" s="44">
        <f t="shared" si="0"/>
        <v>40</v>
      </c>
    </row>
    <row r="37" spans="2:4" x14ac:dyDescent="0.25">
      <c r="B37" s="3" t="s">
        <v>28</v>
      </c>
      <c r="C37" s="52">
        <f>VLOOKUP(TRIM($C$30)&amp;" - "&amp;B37, 'Tabela de apoio'!$A:$D, 4, 0)</f>
        <v>0.1</v>
      </c>
      <c r="D37" s="44">
        <f t="shared" si="0"/>
        <v>50</v>
      </c>
    </row>
    <row r="38" spans="2:4" x14ac:dyDescent="0.25">
      <c r="B38" s="3" t="s">
        <v>29</v>
      </c>
      <c r="C38" s="52">
        <f>VLOOKUP(TRIM($C$30)&amp;" - "&amp;B38, 'Tabela de apoio'!$A:$D, 4, 0)</f>
        <v>0.1</v>
      </c>
      <c r="D38" s="44">
        <f t="shared" si="0"/>
        <v>50</v>
      </c>
    </row>
    <row r="39" spans="2:4" x14ac:dyDescent="0.25">
      <c r="B39" s="3" t="s">
        <v>30</v>
      </c>
      <c r="C39" s="52">
        <f>VLOOKUP(TRIM($C$30)&amp;" - "&amp;B39, 'Tabela de apoio'!$A:$D, 4, 0)</f>
        <v>0.1</v>
      </c>
      <c r="D39" s="44">
        <f t="shared" si="0"/>
        <v>50</v>
      </c>
    </row>
    <row r="40" spans="2:4" x14ac:dyDescent="0.25">
      <c r="B40" s="46"/>
      <c r="C40" s="41"/>
      <c r="D40" s="45">
        <f>SUM(D34:D39)</f>
        <v>550</v>
      </c>
    </row>
  </sheetData>
  <mergeCells count="11">
    <mergeCell ref="B15:C15"/>
    <mergeCell ref="B22:C22"/>
    <mergeCell ref="B10:C10"/>
    <mergeCell ref="B16:C16"/>
    <mergeCell ref="B17:C17"/>
    <mergeCell ref="B18:C18"/>
    <mergeCell ref="B19:C19"/>
    <mergeCell ref="B20:C20"/>
    <mergeCell ref="B11:C11"/>
    <mergeCell ref="B12:C12"/>
    <mergeCell ref="B13:C13"/>
  </mergeCells>
  <dataValidations count="1">
    <dataValidation type="list" allowBlank="1" showInputMessage="1" showErrorMessage="1" sqref="C30" xr:uid="{0E0FDF58-8DE6-443B-B9BD-E7269A637648}">
      <formula1>"Conservador, Moderado, Agressivo 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D11A-C3E0-4BF8-B95B-CBEC809FE451}">
  <dimension ref="A1:D19"/>
  <sheetViews>
    <sheetView zoomScale="130" zoomScaleNormal="130" workbookViewId="0">
      <selection activeCell="A16" sqref="A16"/>
    </sheetView>
  </sheetViews>
  <sheetFormatPr defaultRowHeight="15" x14ac:dyDescent="0.25"/>
  <cols>
    <col min="1" max="1" width="32.42578125" customWidth="1"/>
    <col min="2" max="2" width="15.140625" customWidth="1"/>
    <col min="3" max="3" width="19.85546875" customWidth="1"/>
  </cols>
  <sheetData>
    <row r="1" spans="1:4" ht="15.75" thickBot="1" x14ac:dyDescent="0.3">
      <c r="A1" s="47" t="s">
        <v>33</v>
      </c>
      <c r="B1" s="47" t="s">
        <v>21</v>
      </c>
      <c r="C1" s="47" t="s">
        <v>22</v>
      </c>
      <c r="D1" s="47" t="s">
        <v>32</v>
      </c>
    </row>
    <row r="2" spans="1:4" x14ac:dyDescent="0.25">
      <c r="A2" t="str">
        <f>B2&amp;" - "&amp;C2</f>
        <v>Conservador - PAPEL</v>
      </c>
      <c r="B2" t="s">
        <v>31</v>
      </c>
      <c r="C2" t="s">
        <v>25</v>
      </c>
      <c r="D2" s="43">
        <v>0.3</v>
      </c>
    </row>
    <row r="3" spans="1:4" x14ac:dyDescent="0.25">
      <c r="A3" t="str">
        <f t="shared" ref="A3:A19" si="0">B3&amp;" - "&amp;C3</f>
        <v>Conservador - TIJOLO</v>
      </c>
      <c r="B3" t="s">
        <v>31</v>
      </c>
      <c r="C3" t="s">
        <v>26</v>
      </c>
      <c r="D3" s="43">
        <v>0.5</v>
      </c>
    </row>
    <row r="4" spans="1:4" x14ac:dyDescent="0.25">
      <c r="A4" t="str">
        <f t="shared" si="0"/>
        <v>Conservador - HÍBRIDO</v>
      </c>
      <c r="B4" t="s">
        <v>31</v>
      </c>
      <c r="C4" t="s">
        <v>27</v>
      </c>
      <c r="D4" s="43">
        <v>0.1</v>
      </c>
    </row>
    <row r="5" spans="1:4" x14ac:dyDescent="0.25">
      <c r="A5" t="str">
        <f t="shared" si="0"/>
        <v>Conservador - FOFs</v>
      </c>
      <c r="B5" t="s">
        <v>31</v>
      </c>
      <c r="C5" t="s">
        <v>28</v>
      </c>
      <c r="D5" s="43">
        <v>0.1</v>
      </c>
    </row>
    <row r="6" spans="1:4" x14ac:dyDescent="0.25">
      <c r="A6" t="str">
        <f t="shared" si="0"/>
        <v>Conservador - DESENVOLVIMENTO</v>
      </c>
      <c r="B6" t="s">
        <v>31</v>
      </c>
      <c r="C6" t="s">
        <v>29</v>
      </c>
      <c r="D6" s="43">
        <v>0</v>
      </c>
    </row>
    <row r="7" spans="1:4" ht="15.75" thickBot="1" x14ac:dyDescent="0.3">
      <c r="A7" s="47" t="str">
        <f t="shared" si="0"/>
        <v>Conservador - HOTELARIAS</v>
      </c>
      <c r="B7" s="47" t="s">
        <v>31</v>
      </c>
      <c r="C7" s="47" t="s">
        <v>30</v>
      </c>
      <c r="D7" s="48">
        <v>0</v>
      </c>
    </row>
    <row r="8" spans="1:4" x14ac:dyDescent="0.25">
      <c r="A8" t="str">
        <f t="shared" si="0"/>
        <v>Moderado - PAPEL</v>
      </c>
      <c r="B8" s="38" t="s">
        <v>34</v>
      </c>
      <c r="C8" t="s">
        <v>25</v>
      </c>
      <c r="D8" s="50">
        <v>0.32</v>
      </c>
    </row>
    <row r="9" spans="1:4" x14ac:dyDescent="0.25">
      <c r="A9" t="str">
        <f t="shared" si="0"/>
        <v>Moderado - TIJOLO</v>
      </c>
      <c r="B9" s="38" t="s">
        <v>34</v>
      </c>
      <c r="C9" t="s">
        <v>26</v>
      </c>
      <c r="D9" s="50">
        <v>0.4</v>
      </c>
    </row>
    <row r="10" spans="1:4" x14ac:dyDescent="0.25">
      <c r="A10" t="str">
        <f t="shared" si="0"/>
        <v>Moderado - HÍBRIDO</v>
      </c>
      <c r="B10" s="38" t="s">
        <v>34</v>
      </c>
      <c r="C10" t="s">
        <v>27</v>
      </c>
      <c r="D10" s="50">
        <v>0.08</v>
      </c>
    </row>
    <row r="11" spans="1:4" x14ac:dyDescent="0.25">
      <c r="A11" t="str">
        <f t="shared" si="0"/>
        <v>Moderado - FOFs</v>
      </c>
      <c r="B11" s="38" t="s">
        <v>34</v>
      </c>
      <c r="C11" t="s">
        <v>28</v>
      </c>
      <c r="D11" s="50">
        <v>0.1</v>
      </c>
    </row>
    <row r="12" spans="1:4" x14ac:dyDescent="0.25">
      <c r="A12" t="str">
        <f t="shared" si="0"/>
        <v>Moderado - DESENVOLVIMENTO</v>
      </c>
      <c r="B12" s="38" t="s">
        <v>34</v>
      </c>
      <c r="C12" t="s">
        <v>29</v>
      </c>
      <c r="D12" s="50">
        <v>0.1</v>
      </c>
    </row>
    <row r="13" spans="1:4" ht="15.75" thickBot="1" x14ac:dyDescent="0.3">
      <c r="A13" s="47" t="str">
        <f t="shared" si="0"/>
        <v>Moderado - HOTELARIAS</v>
      </c>
      <c r="B13" s="49" t="s">
        <v>34</v>
      </c>
      <c r="C13" s="47" t="s">
        <v>30</v>
      </c>
      <c r="D13" s="51">
        <v>0.1</v>
      </c>
    </row>
    <row r="14" spans="1:4" x14ac:dyDescent="0.25">
      <c r="A14" t="str">
        <f t="shared" si="0"/>
        <v>Agressivo - PAPEL</v>
      </c>
      <c r="B14" s="38" t="s">
        <v>19</v>
      </c>
      <c r="C14" t="s">
        <v>25</v>
      </c>
      <c r="D14" s="50">
        <v>0.5</v>
      </c>
    </row>
    <row r="15" spans="1:4" x14ac:dyDescent="0.25">
      <c r="A15" t="str">
        <f t="shared" si="0"/>
        <v>Agressivo - TIJOLO</v>
      </c>
      <c r="B15" s="38" t="s">
        <v>19</v>
      </c>
      <c r="C15" t="s">
        <v>26</v>
      </c>
      <c r="D15" s="50">
        <v>0.1</v>
      </c>
    </row>
    <row r="16" spans="1:4" x14ac:dyDescent="0.25">
      <c r="A16" t="str">
        <f t="shared" si="0"/>
        <v>Agressivo - HÍBRIDO</v>
      </c>
      <c r="B16" s="38" t="s">
        <v>19</v>
      </c>
      <c r="C16" t="s">
        <v>27</v>
      </c>
      <c r="D16" s="50">
        <v>0.05</v>
      </c>
    </row>
    <row r="17" spans="1:4" x14ac:dyDescent="0.25">
      <c r="A17" t="str">
        <f t="shared" si="0"/>
        <v>Agressivo - FOFs</v>
      </c>
      <c r="B17" s="38" t="s">
        <v>19</v>
      </c>
      <c r="C17" t="s">
        <v>28</v>
      </c>
      <c r="D17" s="50">
        <v>0.05</v>
      </c>
    </row>
    <row r="18" spans="1:4" x14ac:dyDescent="0.25">
      <c r="A18" t="str">
        <f t="shared" si="0"/>
        <v>Agressivo - DESENVOLVIMENTO</v>
      </c>
      <c r="B18" s="38" t="s">
        <v>19</v>
      </c>
      <c r="C18" t="s">
        <v>29</v>
      </c>
      <c r="D18" s="50">
        <v>0.2</v>
      </c>
    </row>
    <row r="19" spans="1:4" x14ac:dyDescent="0.25">
      <c r="A19" t="str">
        <f t="shared" si="0"/>
        <v>Agressivo - HOTELARIAS</v>
      </c>
      <c r="B19" s="38" t="s">
        <v>19</v>
      </c>
      <c r="C19" t="s">
        <v>30</v>
      </c>
      <c r="D19" s="5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Planilha1</vt:lpstr>
      <vt:lpstr>Tabela de apoio</vt:lpstr>
      <vt:lpstr>aporte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Teix</dc:creator>
  <cp:lastModifiedBy>Henrique Teix</cp:lastModifiedBy>
  <dcterms:created xsi:type="dcterms:W3CDTF">2026-10-06T19:29:26Z</dcterms:created>
  <dcterms:modified xsi:type="dcterms:W3CDTF">2026-10-08T00:44:03Z</dcterms:modified>
</cp:coreProperties>
</file>